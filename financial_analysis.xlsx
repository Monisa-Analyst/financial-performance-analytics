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Revenue &amp; Margin Analysis" sheetId="2" state="visible" r:id="rId2"/>
    <sheet name="Budget vs Actual Report" sheetId="3" state="visible" r:id="rId3"/>
    <sheet name="Segment Profitab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1F4E78"/>
      <sz val="16"/>
    </font>
    <font>
      <name val="Segoe UI"/>
      <b val="1"/>
      <color rgb="007F8C8D"/>
      <sz val="9"/>
    </font>
    <font>
      <name val="Segoe UI"/>
      <b val="1"/>
      <color rgb="001F4E78"/>
      <sz val="14"/>
    </font>
    <font>
      <name val="Segoe UI"/>
      <b val="1"/>
      <color rgb="002C3E50"/>
      <sz val="12"/>
    </font>
    <font>
      <name val="Segoe UI"/>
      <b val="1"/>
      <color rgb="00FFFFFF"/>
      <sz val="11"/>
    </font>
    <font>
      <name val="Segoe UI"/>
      <b val="1"/>
      <sz val="10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2F4F4"/>
        <bgColor rgb="00F2F4F4"/>
      </patternFill>
    </fill>
    <fill>
      <patternFill patternType="solid">
        <fgColor rgb="00EAECEE"/>
        <bgColor rgb="00EAECEE"/>
      </patternFill>
    </fill>
  </fills>
  <borders count="4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  <border>
      <bottom style="double">
        <color rgb="001F4E78"/>
      </bottom>
    </border>
    <border>
      <top style="thin">
        <color rgb="007F8C8D"/>
      </top>
      <bottom style="double">
        <color rgb="002C3E5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164" fontId="7" fillId="0" borderId="1" applyAlignment="1" pivotButton="0" quotePrefix="0" xfId="0">
      <alignment horizontal="right"/>
    </xf>
    <xf numFmtId="0" fontId="0" fillId="0" borderId="2" pivotButton="0" quotePrefix="0" xfId="0"/>
    <xf numFmtId="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right"/>
    </xf>
    <xf numFmtId="0" fontId="7" fillId="3" borderId="1" applyAlignment="1" pivotButton="0" quotePrefix="0" xfId="0">
      <alignment horizontal="center"/>
    </xf>
    <xf numFmtId="164" fontId="7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0" fontId="6" fillId="4" borderId="3" pivotButton="0" quotePrefix="0" xfId="0"/>
    <xf numFmtId="164" fontId="6" fillId="4" borderId="3" applyAlignment="1" pivotButton="0" quotePrefix="0" xfId="0">
      <alignment horizontal="right"/>
    </xf>
    <xf numFmtId="165" fontId="6" fillId="4" borderId="3" applyAlignment="1" pivotButton="0" quotePrefix="0" xfId="0">
      <alignment horizontal="right"/>
    </xf>
    <xf numFmtId="0" fontId="6" fillId="3" borderId="1" pivotButton="0" quotePrefix="0" xfId="0"/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164" fontId="6" fillId="4" borderId="3" pivotButton="0" quotePrefix="0" xfId="0"/>
    <xf numFmtId="165" fontId="6" fillId="4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44" customWidth="1" min="2" max="2"/>
    <col width="21" customWidth="1" min="3" max="3"/>
    <col width="18" customWidth="1" min="4" max="4"/>
    <col width="19" customWidth="1" min="5" max="5"/>
    <col width="11" customWidth="1" min="6" max="6"/>
    <col width="11" customWidth="1" min="7" max="7"/>
    <col width="20" customWidth="1" min="8" max="8"/>
    <col width="11" customWidth="1" min="9" max="9"/>
  </cols>
  <sheetData>
    <row r="1"/>
    <row r="2">
      <c r="B2" s="1" t="inlineStr">
        <is>
          <t>CareMetrics Financial Performance Summary</t>
        </is>
      </c>
    </row>
    <row r="3"/>
    <row r="4">
      <c r="B4" s="2" t="inlineStr">
        <is>
          <t>TOTAL REVENUE</t>
        </is>
      </c>
      <c r="C4" s="3" t="n"/>
      <c r="E4" s="2" t="inlineStr">
        <is>
          <t>TOTAL NET PROFIT</t>
        </is>
      </c>
      <c r="F4" s="3" t="n"/>
      <c r="H4" s="2" t="inlineStr">
        <is>
          <t>NET PROFIT MARGIN</t>
        </is>
      </c>
      <c r="I4" s="3" t="n"/>
    </row>
    <row r="5">
      <c r="B5" s="4">
        <f>'Revenue &amp; Margin Analysis'!B15</f>
        <v/>
      </c>
      <c r="C5" s="3" t="n"/>
      <c r="E5" s="4">
        <f>'Revenue &amp; Margin Analysis'!D15</f>
        <v/>
      </c>
      <c r="F5" s="3" t="n"/>
      <c r="H5" s="5">
        <f>'Revenue &amp; Margin Analysis'!E15</f>
        <v/>
      </c>
      <c r="I5" s="3" t="n"/>
    </row>
    <row r="6"/>
    <row r="7"/>
    <row r="8">
      <c r="B8" s="6" t="inlineStr">
        <is>
          <t>Corporate Performance Overview</t>
        </is>
      </c>
    </row>
    <row r="9">
      <c r="B9" s="7" t="inlineStr">
        <is>
          <t>Key Metrics</t>
        </is>
      </c>
      <c r="C9" s="7" t="inlineStr">
        <is>
          <t>Current Year Value</t>
        </is>
      </c>
      <c r="D9" s="7" t="inlineStr">
        <is>
          <t>Target Budget</t>
        </is>
      </c>
      <c r="E9" s="7" t="inlineStr">
        <is>
          <t>Variance</t>
        </is>
      </c>
    </row>
    <row r="10">
      <c r="B10" s="8" t="inlineStr">
        <is>
          <t>Total Sales Revenue</t>
        </is>
      </c>
      <c r="C10" s="9">
        <f>'Revenue &amp; Margin Analysis'!B15</f>
        <v/>
      </c>
      <c r="D10" s="9">
        <f>'Budget vs Actual Report'!C8</f>
        <v/>
      </c>
      <c r="E10" s="9">
        <f>C10-D10</f>
        <v/>
      </c>
    </row>
    <row r="11">
      <c r="B11" s="8" t="inlineStr">
        <is>
          <t>Operational Expenses</t>
        </is>
      </c>
      <c r="C11" s="9">
        <f>'Revenue &amp; Margin Analysis'!C15</f>
        <v/>
      </c>
      <c r="D11" s="9">
        <f>'Budget vs Actual Report'!E8</f>
        <v/>
      </c>
      <c r="E11" s="9">
        <f>D11-C11</f>
        <v/>
      </c>
    </row>
    <row r="12">
      <c r="B12" s="8" t="inlineStr">
        <is>
          <t>Net Operating Profit</t>
        </is>
      </c>
      <c r="C12" s="9">
        <f>'Revenue &amp; Margin Analysis'!D15</f>
        <v/>
      </c>
      <c r="D12" s="9">
        <f>C10-C11</f>
        <v/>
      </c>
      <c r="E12" s="9">
        <f>C12-D12</f>
        <v/>
      </c>
    </row>
    <row r="13">
      <c r="B13" s="10" t="n"/>
      <c r="C13" s="10" t="n"/>
      <c r="D13" s="10" t="n"/>
      <c r="E13" s="10" t="n"/>
    </row>
  </sheetData>
  <mergeCells count="6">
    <mergeCell ref="E4:F4"/>
    <mergeCell ref="B5:C5"/>
    <mergeCell ref="E5:F5"/>
    <mergeCell ref="H5:I5"/>
    <mergeCell ref="H4:I4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/>
  <cols>
    <col width="43" customWidth="1" min="1" max="1"/>
    <col width="18" customWidth="1" min="2" max="2"/>
    <col width="18" customWidth="1" min="3" max="3"/>
    <col width="18" customWidth="1" min="4" max="4"/>
    <col width="18" customWidth="1" min="5" max="5"/>
    <col width="24" customWidth="1" min="6" max="6"/>
  </cols>
  <sheetData>
    <row r="1">
      <c r="A1" s="1" t="inlineStr">
        <is>
          <t>Monthly Revenue &amp; Profitability Analysis</t>
        </is>
      </c>
    </row>
    <row r="2">
      <c r="A2" s="7" t="inlineStr">
        <is>
          <t>Month</t>
        </is>
      </c>
      <c r="B2" s="7" t="inlineStr">
        <is>
          <t>Revenue</t>
        </is>
      </c>
      <c r="C2" s="7" t="inlineStr">
        <is>
          <t>Expenses</t>
        </is>
      </c>
      <c r="D2" s="7" t="inlineStr">
        <is>
          <t>Net Profit</t>
        </is>
      </c>
      <c r="E2" s="7" t="inlineStr">
        <is>
          <t>Profit Margin</t>
        </is>
      </c>
      <c r="F2" s="7" t="inlineStr">
        <is>
          <t>Running Total Revenue</t>
        </is>
      </c>
    </row>
    <row r="3">
      <c r="A3" s="11" t="inlineStr">
        <is>
          <t>2025-01</t>
        </is>
      </c>
      <c r="B3" s="9" t="n">
        <v>711505.02</v>
      </c>
      <c r="C3" s="9" t="n">
        <v>251235.14</v>
      </c>
      <c r="D3" s="9">
        <f>B3-C3</f>
        <v/>
      </c>
      <c r="E3" s="12">
        <f>IF(B3=0, 0, D3/B3)</f>
        <v/>
      </c>
      <c r="F3" s="9">
        <f>SUM(B$3:B3)</f>
        <v/>
      </c>
    </row>
    <row r="4">
      <c r="A4" s="13" t="inlineStr">
        <is>
          <t>2025-02</t>
        </is>
      </c>
      <c r="B4" s="14" t="n">
        <v>640328.9399999999</v>
      </c>
      <c r="C4" s="14" t="n">
        <v>228701.41</v>
      </c>
      <c r="D4" s="14">
        <f>B4-C4</f>
        <v/>
      </c>
      <c r="E4" s="15">
        <f>IF(B4=0, 0, D4/B4)</f>
        <v/>
      </c>
      <c r="F4" s="14">
        <f>SUM(B$3:B4)</f>
        <v/>
      </c>
    </row>
    <row r="5">
      <c r="A5" s="11" t="inlineStr">
        <is>
          <t>2025-03</t>
        </is>
      </c>
      <c r="B5" s="9" t="n">
        <v>831364.6800000001</v>
      </c>
      <c r="C5" s="9" t="n">
        <v>214650.98</v>
      </c>
      <c r="D5" s="9">
        <f>B5-C5</f>
        <v/>
      </c>
      <c r="E5" s="12">
        <f>IF(B5=0, 0, D5/B5)</f>
        <v/>
      </c>
      <c r="F5" s="9">
        <f>SUM(B$3:B5)</f>
        <v/>
      </c>
    </row>
    <row r="6">
      <c r="A6" s="13" t="inlineStr">
        <is>
          <t>2025-04</t>
        </is>
      </c>
      <c r="B6" s="14" t="n">
        <v>770966.1800000001</v>
      </c>
      <c r="C6" s="14" t="n">
        <v>182833.3</v>
      </c>
      <c r="D6" s="14">
        <f>B6-C6</f>
        <v/>
      </c>
      <c r="E6" s="15">
        <f>IF(B6=0, 0, D6/B6)</f>
        <v/>
      </c>
      <c r="F6" s="14">
        <f>SUM(B$3:B6)</f>
        <v/>
      </c>
    </row>
    <row r="7">
      <c r="A7" s="11" t="inlineStr">
        <is>
          <t>2025-05</t>
        </is>
      </c>
      <c r="B7" s="9" t="n">
        <v>815459.8100000001</v>
      </c>
      <c r="C7" s="9" t="n">
        <v>203328.23</v>
      </c>
      <c r="D7" s="9">
        <f>B7-C7</f>
        <v/>
      </c>
      <c r="E7" s="12">
        <f>IF(B7=0, 0, D7/B7)</f>
        <v/>
      </c>
      <c r="F7" s="9">
        <f>SUM(B$3:B7)</f>
        <v/>
      </c>
    </row>
    <row r="8">
      <c r="A8" s="13" t="inlineStr">
        <is>
          <t>2025-06</t>
        </is>
      </c>
      <c r="B8" s="14" t="n">
        <v>766853.24</v>
      </c>
      <c r="C8" s="14" t="n">
        <v>206341.03</v>
      </c>
      <c r="D8" s="14">
        <f>B8-C8</f>
        <v/>
      </c>
      <c r="E8" s="15">
        <f>IF(B8=0, 0, D8/B8)</f>
        <v/>
      </c>
      <c r="F8" s="14">
        <f>SUM(B$3:B8)</f>
        <v/>
      </c>
    </row>
    <row r="9">
      <c r="A9" s="11" t="inlineStr">
        <is>
          <t>2025-07</t>
        </is>
      </c>
      <c r="B9" s="9" t="n">
        <v>879695.25</v>
      </c>
      <c r="C9" s="9" t="n">
        <v>210987.27</v>
      </c>
      <c r="D9" s="9">
        <f>B9-C9</f>
        <v/>
      </c>
      <c r="E9" s="12">
        <f>IF(B9=0, 0, D9/B9)</f>
        <v/>
      </c>
      <c r="F9" s="9">
        <f>SUM(B$3:B9)</f>
        <v/>
      </c>
    </row>
    <row r="10">
      <c r="A10" s="13" t="inlineStr">
        <is>
          <t>2025-08</t>
        </is>
      </c>
      <c r="B10" s="14" t="n">
        <v>894860.6800000001</v>
      </c>
      <c r="C10" s="14" t="n">
        <v>225406.35</v>
      </c>
      <c r="D10" s="14">
        <f>B10-C10</f>
        <v/>
      </c>
      <c r="E10" s="15">
        <f>IF(B10=0, 0, D10/B10)</f>
        <v/>
      </c>
      <c r="F10" s="14">
        <f>SUM(B$3:B10)</f>
        <v/>
      </c>
    </row>
    <row r="11">
      <c r="A11" s="11" t="inlineStr">
        <is>
          <t>2025-09</t>
        </is>
      </c>
      <c r="B11" s="9" t="n">
        <v>753989.0699999999</v>
      </c>
      <c r="C11" s="9" t="n">
        <v>298962</v>
      </c>
      <c r="D11" s="9">
        <f>B11-C11</f>
        <v/>
      </c>
      <c r="E11" s="12">
        <f>IF(B11=0, 0, D11/B11)</f>
        <v/>
      </c>
      <c r="F11" s="9">
        <f>SUM(B$3:B11)</f>
        <v/>
      </c>
    </row>
    <row r="12">
      <c r="A12" s="13" t="inlineStr">
        <is>
          <t>2025-10</t>
        </is>
      </c>
      <c r="B12" s="14" t="n">
        <v>862808.51</v>
      </c>
      <c r="C12" s="14" t="n">
        <v>276692.14</v>
      </c>
      <c r="D12" s="14">
        <f>B12-C12</f>
        <v/>
      </c>
      <c r="E12" s="15">
        <f>IF(B12=0, 0, D12/B12)</f>
        <v/>
      </c>
      <c r="F12" s="14">
        <f>SUM(B$3:B12)</f>
        <v/>
      </c>
    </row>
    <row r="13">
      <c r="A13" s="11" t="inlineStr">
        <is>
          <t>2025-11</t>
        </is>
      </c>
      <c r="B13" s="9" t="n">
        <v>855043.9399999999</v>
      </c>
      <c r="C13" s="9" t="n">
        <v>279626.37</v>
      </c>
      <c r="D13" s="9">
        <f>B13-C13</f>
        <v/>
      </c>
      <c r="E13" s="12">
        <f>IF(B13=0, 0, D13/B13)</f>
        <v/>
      </c>
      <c r="F13" s="9">
        <f>SUM(B$3:B13)</f>
        <v/>
      </c>
    </row>
    <row r="14">
      <c r="A14" s="13" t="inlineStr">
        <is>
          <t>2025-12</t>
        </is>
      </c>
      <c r="B14" s="14" t="n">
        <v>1041056.63</v>
      </c>
      <c r="C14" s="14" t="n">
        <v>248312.37</v>
      </c>
      <c r="D14" s="14">
        <f>B14-C14</f>
        <v/>
      </c>
      <c r="E14" s="15">
        <f>IF(B14=0, 0, D14/B14)</f>
        <v/>
      </c>
      <c r="F14" s="14">
        <f>SUM(B$3:B14)</f>
        <v/>
      </c>
    </row>
    <row r="15">
      <c r="A15" s="16" t="inlineStr">
        <is>
          <t>Total</t>
        </is>
      </c>
      <c r="B15" s="17">
        <f>SUM(B3:B14)</f>
        <v/>
      </c>
      <c r="C15" s="17">
        <f>SUM(C3:C14)</f>
        <v/>
      </c>
      <c r="D15" s="17">
        <f>SUM(D3:D14)</f>
        <v/>
      </c>
      <c r="E15" s="18">
        <f>IF(B15=0, 0, D15/B15)</f>
        <v/>
      </c>
      <c r="F15" s="1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18" customWidth="1" min="2" max="2"/>
    <col width="18" customWidth="1" min="3" max="3"/>
    <col width="19" customWidth="1" min="4" max="4"/>
    <col width="18" customWidth="1" min="5" max="5"/>
    <col width="18" customWidth="1" min="6" max="6"/>
    <col width="19" customWidth="1" min="7" max="7"/>
  </cols>
  <sheetData>
    <row r="1">
      <c r="A1" s="1" t="inlineStr">
        <is>
          <t>Budget vs Actual Variance Report (by Department)</t>
        </is>
      </c>
    </row>
    <row r="2">
      <c r="A2" s="7" t="inlineStr">
        <is>
          <t>Department</t>
        </is>
      </c>
      <c r="B2" s="7" t="inlineStr">
        <is>
          <t>Actual Revenue</t>
        </is>
      </c>
      <c r="C2" s="7" t="inlineStr">
        <is>
          <t>Budget Revenue</t>
        </is>
      </c>
      <c r="D2" s="7" t="inlineStr">
        <is>
          <t>Revenue Variance</t>
        </is>
      </c>
      <c r="E2" s="7" t="inlineStr">
        <is>
          <t>Actual Expenses</t>
        </is>
      </c>
      <c r="F2" s="7" t="inlineStr">
        <is>
          <t>Budget Expenses</t>
        </is>
      </c>
      <c r="G2" s="7" t="inlineStr">
        <is>
          <t>Expense Variance</t>
        </is>
      </c>
    </row>
    <row r="3">
      <c r="A3" s="8" t="inlineStr">
        <is>
          <t>Engineering</t>
        </is>
      </c>
      <c r="B3" s="9" t="n">
        <v>1906925.12</v>
      </c>
      <c r="C3" s="9" t="n">
        <v>1213314.15</v>
      </c>
      <c r="D3" s="9">
        <f>B3-C3</f>
        <v/>
      </c>
      <c r="E3" s="9" t="n">
        <v>566946.67</v>
      </c>
      <c r="F3" s="9" t="n">
        <v>667095.7</v>
      </c>
      <c r="G3" s="9">
        <f>F3-E3</f>
        <v/>
      </c>
    </row>
    <row r="4">
      <c r="A4" s="19" t="inlineStr">
        <is>
          <t>HR</t>
        </is>
      </c>
      <c r="B4" s="14" t="n">
        <v>1907167.58</v>
      </c>
      <c r="C4" s="14" t="n">
        <v>1200648.81</v>
      </c>
      <c r="D4" s="14">
        <f>B4-C4</f>
        <v/>
      </c>
      <c r="E4" s="14" t="n">
        <v>509900.13</v>
      </c>
      <c r="F4" s="14" t="n">
        <v>698269.77</v>
      </c>
      <c r="G4" s="14">
        <f>F4-E4</f>
        <v/>
      </c>
    </row>
    <row r="5">
      <c r="A5" s="8" t="inlineStr">
        <is>
          <t>Marketing</t>
        </is>
      </c>
      <c r="B5" s="9" t="n">
        <v>1954290.92</v>
      </c>
      <c r="C5" s="9" t="n">
        <v>1228040.25</v>
      </c>
      <c r="D5" s="9">
        <f>B5-C5</f>
        <v/>
      </c>
      <c r="E5" s="9" t="n">
        <v>658101.46</v>
      </c>
      <c r="F5" s="9" t="n">
        <v>765877.09</v>
      </c>
      <c r="G5" s="9">
        <f>F5-E5</f>
        <v/>
      </c>
    </row>
    <row r="6">
      <c r="A6" s="19" t="inlineStr">
        <is>
          <t>Operations</t>
        </is>
      </c>
      <c r="B6" s="14" t="n">
        <v>2057303.24</v>
      </c>
      <c r="C6" s="14" t="n">
        <v>1258612.97</v>
      </c>
      <c r="D6" s="14">
        <f>B6-C6</f>
        <v/>
      </c>
      <c r="E6" s="14" t="n">
        <v>553922.92</v>
      </c>
      <c r="F6" s="14" t="n">
        <v>687131.4</v>
      </c>
      <c r="G6" s="14">
        <f>F6-E6</f>
        <v/>
      </c>
    </row>
    <row r="7">
      <c r="A7" s="8" t="inlineStr">
        <is>
          <t>Sales</t>
        </is>
      </c>
      <c r="B7" s="9" t="n">
        <v>1998245.09</v>
      </c>
      <c r="C7" s="9" t="n">
        <v>1179860.32</v>
      </c>
      <c r="D7" s="9">
        <f>B7-C7</f>
        <v/>
      </c>
      <c r="E7" s="9" t="n">
        <v>538205.41</v>
      </c>
      <c r="F7" s="9" t="n">
        <v>656536.28</v>
      </c>
      <c r="G7" s="9">
        <f>F7-E7</f>
        <v/>
      </c>
    </row>
    <row r="8">
      <c r="A8" s="16" t="inlineStr">
        <is>
          <t>Total</t>
        </is>
      </c>
      <c r="B8" s="17">
        <f>SUM(B3:B7)</f>
        <v/>
      </c>
      <c r="C8" s="17">
        <f>SUM(C3:C7)</f>
        <v/>
      </c>
      <c r="D8" s="17">
        <f>B8-C8</f>
        <v/>
      </c>
      <c r="E8" s="17">
        <f>SUM(E3:E7)</f>
        <v/>
      </c>
      <c r="F8" s="17">
        <f>SUM(F3:F7)</f>
        <v/>
      </c>
      <c r="G8" s="17">
        <f>F8-E8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1" customWidth="1" min="6" max="6"/>
    <col width="32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6" t="inlineStr">
        <is>
          <t>Profitability by Region</t>
        </is>
      </c>
      <c r="G1" s="6" t="inlineStr">
        <is>
          <t>Profitability by Product Line</t>
        </is>
      </c>
    </row>
    <row r="2">
      <c r="A2" s="7" t="inlineStr">
        <is>
          <t>Region</t>
        </is>
      </c>
      <c r="B2" s="7" t="inlineStr">
        <is>
          <t>Revenue</t>
        </is>
      </c>
      <c r="C2" s="7" t="inlineStr">
        <is>
          <t>Expenses</t>
        </is>
      </c>
      <c r="D2" s="7" t="inlineStr">
        <is>
          <t>Net Profit</t>
        </is>
      </c>
      <c r="E2" s="7" t="inlineStr">
        <is>
          <t>Margin</t>
        </is>
      </c>
      <c r="G2" s="7" t="inlineStr">
        <is>
          <t>Product Line</t>
        </is>
      </c>
      <c r="H2" s="7" t="inlineStr">
        <is>
          <t>Revenue</t>
        </is>
      </c>
      <c r="I2" s="7" t="inlineStr">
        <is>
          <t>Expenses</t>
        </is>
      </c>
      <c r="J2" s="7" t="inlineStr">
        <is>
          <t>Net Profit</t>
        </is>
      </c>
      <c r="K2" s="7" t="inlineStr">
        <is>
          <t>Margin</t>
        </is>
      </c>
    </row>
    <row r="3">
      <c r="A3" s="8" t="inlineStr">
        <is>
          <t>South</t>
        </is>
      </c>
      <c r="B3" s="20" t="n">
        <v>2730628.18</v>
      </c>
      <c r="C3" s="20" t="n">
        <v>624982.29</v>
      </c>
      <c r="D3" s="20">
        <f>B3-C3</f>
        <v/>
      </c>
      <c r="E3" s="21">
        <f>IF(B3=0,0,D3/B3)</f>
        <v/>
      </c>
      <c r="G3" s="8" t="inlineStr">
        <is>
          <t>Software Licenses</t>
        </is>
      </c>
      <c r="H3" s="20" t="n">
        <v>2910114.05</v>
      </c>
      <c r="I3" s="20" t="n">
        <v>346181.44</v>
      </c>
      <c r="J3" s="20">
        <f>H3-I3</f>
        <v/>
      </c>
      <c r="K3" s="21">
        <f>IF(H3=0,0,J3/H3)</f>
        <v/>
      </c>
    </row>
    <row r="4">
      <c r="A4" s="8" t="inlineStr">
        <is>
          <t>West</t>
        </is>
      </c>
      <c r="B4" s="20" t="n">
        <v>2654810.62</v>
      </c>
      <c r="C4" s="20" t="n">
        <v>757040.4399999999</v>
      </c>
      <c r="D4" s="20">
        <f>B4-C4</f>
        <v/>
      </c>
      <c r="E4" s="21">
        <f>IF(B4=0,0,D4/B4)</f>
        <v/>
      </c>
      <c r="G4" s="8" t="inlineStr">
        <is>
          <t>Cloud Subscriptions</t>
        </is>
      </c>
      <c r="H4" s="20" t="n">
        <v>2478623.5</v>
      </c>
      <c r="I4" s="20" t="n">
        <v>702029.58</v>
      </c>
      <c r="J4" s="20">
        <f>H4-I4</f>
        <v/>
      </c>
      <c r="K4" s="21">
        <f>IF(H4=0,0,J4/H4)</f>
        <v/>
      </c>
    </row>
    <row r="5">
      <c r="A5" s="8" t="inlineStr">
        <is>
          <t>North</t>
        </is>
      </c>
      <c r="B5" s="20" t="n">
        <v>2240063.53</v>
      </c>
      <c r="C5" s="20" t="n">
        <v>690959.42</v>
      </c>
      <c r="D5" s="20">
        <f>B5-C5</f>
        <v/>
      </c>
      <c r="E5" s="21">
        <f>IF(B5=0,0,D5/B5)</f>
        <v/>
      </c>
      <c r="G5" s="8" t="inlineStr">
        <is>
          <t>Hardware Systems</t>
        </is>
      </c>
      <c r="H5" s="20" t="n">
        <v>2322900.73</v>
      </c>
      <c r="I5" s="20" t="n">
        <v>1004022.55</v>
      </c>
      <c r="J5" s="20">
        <f>H5-I5</f>
        <v/>
      </c>
      <c r="K5" s="21">
        <f>IF(H5=0,0,J5/H5)</f>
        <v/>
      </c>
    </row>
    <row r="6">
      <c r="A6" s="8" t="inlineStr">
        <is>
          <t>East</t>
        </is>
      </c>
      <c r="B6" s="20" t="n">
        <v>2198429.62</v>
      </c>
      <c r="C6" s="20" t="n">
        <v>754094.4399999999</v>
      </c>
      <c r="D6" s="20">
        <f>B6-C6</f>
        <v/>
      </c>
      <c r="E6" s="21">
        <f>IF(B6=0,0,D6/B6)</f>
        <v/>
      </c>
      <c r="G6" s="8" t="inlineStr">
        <is>
          <t>Consulting Services</t>
        </is>
      </c>
      <c r="H6" s="20" t="n">
        <v>2112293.67</v>
      </c>
      <c r="I6" s="20" t="n">
        <v>774843.02</v>
      </c>
      <c r="J6" s="20">
        <f>H6-I6</f>
        <v/>
      </c>
      <c r="K6" s="21">
        <f>IF(H6=0,0,J6/H6)</f>
        <v/>
      </c>
    </row>
    <row r="7">
      <c r="A7" s="16" t="inlineStr">
        <is>
          <t>Total</t>
        </is>
      </c>
      <c r="B7" s="22">
        <f>SUM(B3:B6)</f>
        <v/>
      </c>
      <c r="C7" s="22">
        <f>SUM(C3:C6)</f>
        <v/>
      </c>
      <c r="D7" s="22">
        <f>B7-C7</f>
        <v/>
      </c>
      <c r="E7" s="23">
        <f>IF(B7=0,0,D7/B7)</f>
        <v/>
      </c>
      <c r="G7" s="16" t="inlineStr">
        <is>
          <t>Total</t>
        </is>
      </c>
      <c r="H7" s="22">
        <f>SUM(H3:H6)</f>
        <v/>
      </c>
      <c r="I7" s="22">
        <f>SUM(I3:I6)</f>
        <v/>
      </c>
      <c r="J7" s="22">
        <f>H7-I7</f>
        <v/>
      </c>
      <c r="K7" s="23">
        <f>IF(H7=0,0,J7/H7)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2026-06-10T18:40:06Z</dcterms:created>
  <dcterms:modified xsi:type="dcterms:W3CDTF">2026-06-10T18:40:06Z</dcterms:modified>
</cp:coreProperties>
</file>